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bacco &amp; COPD Data" sheetId="1" state="visible" r:id="rId3"/>
    <sheet name="Averages by Country &amp; Se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<sst xmlns="http://schemas.openxmlformats.org/spreadsheetml/2006/main" count="57" uniqueCount="12">
  <si>
    <t xml:space="preserve">Country</t>
  </si>
  <si>
    <t xml:space="preserve">Sex</t>
  </si>
  <si>
    <t xml:space="preserve">Year</t>
  </si>
  <si>
    <t xml:space="preserve">Tobacco Prevalence (%)</t>
  </si>
  <si>
    <t xml:space="preserve">COPD Prevalence (%)</t>
  </si>
  <si>
    <t xml:space="preserve">United States</t>
  </si>
  <si>
    <t xml:space="preserve">Male</t>
  </si>
  <si>
    <t xml:space="preserve">Female</t>
  </si>
  <si>
    <t xml:space="preserve">United Kingdom</t>
  </si>
  <si>
    <t xml:space="preserve">Germany</t>
  </si>
  <si>
    <t xml:space="preserve">Avg Tobacco Prev (%)</t>
  </si>
  <si>
    <t xml:space="preserve">Avg COPD Prev (%)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</si>
</sst>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213E"/>
        <bgColor rgb="FF003366"/>
      </patternFill>
    </fill>
    <fill>
      <patternFill patternType="solid">
        <fgColor rgb="FFD6E4F0"/>
        <bgColor rgb="FFD5F5E3"/>
      </patternFill>
    </fill>
    <fill>
      <patternFill patternType="solid">
        <fgColor rgb="FFD5F5E3"/>
        <bgColor rgb="FFCCFFFF"/>
      </patternFill>
    </fill>
    <fill>
      <patternFill patternType="solid">
        <fgColor rgb="FFFDEBD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DEBD0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21" activeCellId="0" sqref="A2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22"/>
    <col collapsed="false" customWidth="true" hidden="false" outlineLevel="0" max="5" min="5" style="1" width="20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9.5" hidden="false" customHeight="true" outlineLevel="0" collapsed="false">
      <c r="A2" s="3" t="s">
        <v>5</v>
      </c>
      <c r="B2" s="3" t="s">
        <v>6</v>
      </c>
      <c r="C2" s="3" t="n">
        <v>2000</v>
      </c>
      <c r="D2" s="4" t="n">
        <v>33.8</v>
      </c>
      <c r="E2" s="4" t="n">
        <v>6.1</v>
      </c>
    </row>
    <row r="3" customFormat="false" ht="19.5" hidden="false" customHeight="true" outlineLevel="0" collapsed="false">
      <c r="A3" s="3" t="s">
        <v>5</v>
      </c>
      <c r="B3" s="3" t="s">
        <v>6</v>
      </c>
      <c r="C3" s="3" t="n">
        <v>2012</v>
      </c>
      <c r="D3" s="4" t="n">
        <v>24.3</v>
      </c>
      <c r="E3" s="4" t="n">
        <v>6.5</v>
      </c>
    </row>
    <row r="4" customFormat="false" ht="19.5" hidden="false" customHeight="true" outlineLevel="0" collapsed="false">
      <c r="A4" s="3" t="s">
        <v>5</v>
      </c>
      <c r="B4" s="3" t="s">
        <v>6</v>
      </c>
      <c r="C4" s="3" t="n">
        <v>2022</v>
      </c>
      <c r="D4" s="4" t="n">
        <v>23</v>
      </c>
      <c r="E4" s="4" t="n">
        <v>6.6</v>
      </c>
    </row>
    <row r="5" customFormat="false" ht="19.5" hidden="false" customHeight="true" outlineLevel="0" collapsed="false">
      <c r="A5" s="3" t="s">
        <v>5</v>
      </c>
      <c r="B5" s="3" t="s">
        <v>7</v>
      </c>
      <c r="C5" s="3" t="n">
        <v>2000</v>
      </c>
      <c r="D5" s="4" t="n">
        <v>27.6</v>
      </c>
      <c r="E5" s="4" t="n">
        <v>6</v>
      </c>
    </row>
    <row r="6" customFormat="false" ht="19.5" hidden="false" customHeight="true" outlineLevel="0" collapsed="false">
      <c r="A6" s="3" t="s">
        <v>5</v>
      </c>
      <c r="B6" s="3" t="s">
        <v>7</v>
      </c>
      <c r="C6" s="3" t="n">
        <v>2012</v>
      </c>
      <c r="D6" s="4" t="n">
        <v>19.4</v>
      </c>
      <c r="E6" s="4" t="n">
        <v>6.8</v>
      </c>
    </row>
    <row r="7" customFormat="false" ht="19.5" hidden="false" customHeight="true" outlineLevel="0" collapsed="false">
      <c r="A7" s="3" t="s">
        <v>5</v>
      </c>
      <c r="B7" s="3" t="s">
        <v>7</v>
      </c>
      <c r="C7" s="3" t="n">
        <v>2022</v>
      </c>
      <c r="D7" s="4" t="n">
        <v>15</v>
      </c>
      <c r="E7" s="4" t="n">
        <v>7.2</v>
      </c>
    </row>
    <row r="8" customFormat="false" ht="19.5" hidden="false" customHeight="true" outlineLevel="0" collapsed="false">
      <c r="A8" s="5" t="s">
        <v>8</v>
      </c>
      <c r="B8" s="5" t="s">
        <v>6</v>
      </c>
      <c r="C8" s="5" t="n">
        <v>2000</v>
      </c>
      <c r="D8" s="6" t="n">
        <v>36.8</v>
      </c>
      <c r="E8" s="6" t="n">
        <v>5.8</v>
      </c>
    </row>
    <row r="9" customFormat="false" ht="19.5" hidden="false" customHeight="true" outlineLevel="0" collapsed="false">
      <c r="A9" s="5" t="s">
        <v>8</v>
      </c>
      <c r="B9" s="5" t="s">
        <v>6</v>
      </c>
      <c r="C9" s="5" t="n">
        <v>2012</v>
      </c>
      <c r="D9" s="6" t="n">
        <v>25.1</v>
      </c>
      <c r="E9" s="6" t="n">
        <v>6</v>
      </c>
    </row>
    <row r="10" customFormat="false" ht="19.5" hidden="false" customHeight="true" outlineLevel="0" collapsed="false">
      <c r="A10" s="5" t="s">
        <v>8</v>
      </c>
      <c r="B10" s="5" t="s">
        <v>6</v>
      </c>
      <c r="C10" s="5" t="n">
        <v>2022</v>
      </c>
      <c r="D10" s="6" t="n">
        <v>18</v>
      </c>
      <c r="E10" s="6" t="n">
        <v>5.8</v>
      </c>
    </row>
    <row r="11" customFormat="false" ht="19.5" hidden="false" customHeight="true" outlineLevel="0" collapsed="false">
      <c r="A11" s="5" t="s">
        <v>8</v>
      </c>
      <c r="B11" s="5" t="s">
        <v>7</v>
      </c>
      <c r="C11" s="5" t="n">
        <v>2000</v>
      </c>
      <c r="D11" s="6" t="n">
        <v>34</v>
      </c>
      <c r="E11" s="6" t="n">
        <v>4.7</v>
      </c>
    </row>
    <row r="12" customFormat="false" ht="19.5" hidden="false" customHeight="true" outlineLevel="0" collapsed="false">
      <c r="A12" s="5" t="s">
        <v>8</v>
      </c>
      <c r="B12" s="5" t="s">
        <v>7</v>
      </c>
      <c r="C12" s="5" t="n">
        <v>2012</v>
      </c>
      <c r="D12" s="6" t="n">
        <v>22</v>
      </c>
      <c r="E12" s="6" t="n">
        <v>5.5</v>
      </c>
    </row>
    <row r="13" customFormat="false" ht="19.5" hidden="false" customHeight="true" outlineLevel="0" collapsed="false">
      <c r="A13" s="5" t="s">
        <v>8</v>
      </c>
      <c r="B13" s="5" t="s">
        <v>7</v>
      </c>
      <c r="C13" s="5" t="n">
        <v>2022</v>
      </c>
      <c r="D13" s="6" t="n">
        <v>14.8</v>
      </c>
      <c r="E13" s="6" t="n">
        <v>5.9</v>
      </c>
    </row>
    <row r="14" customFormat="false" ht="19.5" hidden="false" customHeight="true" outlineLevel="0" collapsed="false">
      <c r="A14" s="7" t="s">
        <v>9</v>
      </c>
      <c r="B14" s="7" t="s">
        <v>6</v>
      </c>
      <c r="C14" s="7" t="n">
        <v>2000</v>
      </c>
      <c r="D14" s="8" t="n">
        <v>41.5</v>
      </c>
      <c r="E14" s="8" t="n">
        <v>4.5</v>
      </c>
    </row>
    <row r="15" customFormat="false" ht="19.5" hidden="false" customHeight="true" outlineLevel="0" collapsed="false">
      <c r="A15" s="7" t="s">
        <v>9</v>
      </c>
      <c r="B15" s="7" t="s">
        <v>6</v>
      </c>
      <c r="C15" s="7" t="n">
        <v>2012</v>
      </c>
      <c r="D15" s="8" t="n">
        <v>34.2</v>
      </c>
      <c r="E15" s="8" t="n">
        <v>4.3</v>
      </c>
    </row>
    <row r="16" customFormat="false" ht="19.5" hidden="false" customHeight="true" outlineLevel="0" collapsed="false">
      <c r="A16" s="7" t="s">
        <v>9</v>
      </c>
      <c r="B16" s="7" t="s">
        <v>6</v>
      </c>
      <c r="C16" s="7" t="n">
        <v>2022</v>
      </c>
      <c r="D16" s="8" t="n">
        <v>27.8</v>
      </c>
      <c r="E16" s="8" t="n">
        <v>3.9</v>
      </c>
    </row>
    <row r="17" customFormat="false" ht="19.5" hidden="false" customHeight="true" outlineLevel="0" collapsed="false">
      <c r="A17" s="7" t="s">
        <v>9</v>
      </c>
      <c r="B17" s="7" t="s">
        <v>7</v>
      </c>
      <c r="C17" s="7" t="n">
        <v>2000</v>
      </c>
      <c r="D17" s="8" t="n">
        <v>29.5</v>
      </c>
      <c r="E17" s="8" t="n">
        <v>2.6</v>
      </c>
    </row>
    <row r="18" customFormat="false" ht="19.5" hidden="false" customHeight="true" outlineLevel="0" collapsed="false">
      <c r="A18" s="7" t="s">
        <v>9</v>
      </c>
      <c r="B18" s="7" t="s">
        <v>7</v>
      </c>
      <c r="C18" s="7" t="n">
        <v>2012</v>
      </c>
      <c r="D18" s="8" t="n">
        <v>23.7</v>
      </c>
      <c r="E18" s="8" t="n">
        <v>2.7</v>
      </c>
    </row>
    <row r="19" customFormat="false" ht="19.5" hidden="false" customHeight="true" outlineLevel="0" collapsed="false">
      <c r="A19" s="7" t="s">
        <v>9</v>
      </c>
      <c r="B19" s="7" t="s">
        <v>7</v>
      </c>
      <c r="C19" s="7" t="n">
        <v>2022</v>
      </c>
      <c r="D19" s="8" t="n">
        <v>18.8</v>
      </c>
      <c r="E19" s="8" t="n">
        <v>2.7</v>
      </c>
    </row>
    <row r="21" customFormat="false" ht="15" hidden="false" customHeight="false" outlineLevel="0" collapsed="false">
      <c r="A2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20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 t="s">
        <v>10</v>
      </c>
      <c r="D1" s="2" t="s">
        <v>11</v>
      </c>
    </row>
    <row r="2" customFormat="false" ht="19.5" hidden="false" customHeight="true" outlineLevel="0" collapsed="false">
      <c r="A2" s="3" t="s">
        <v>5</v>
      </c>
      <c r="B2" s="3" t="s">
        <v>6</v>
      </c>
      <c r="C2" s="4" t="n">
        <f aca="false">AVERAGE('Tobacco &amp; COPD Data'!D2,'Tobacco &amp; COPD Data'!D3,'Tobacco &amp; COPD Data'!D4)</f>
        <v>27.0333333333333</v>
      </c>
      <c r="D2" s="4" t="n">
        <f aca="false">AVERAGE('Tobacco &amp; COPD Data'!E2,'Tobacco &amp; COPD Data'!E3,'Tobacco &amp; COPD Data'!E4)</f>
        <v>6.4</v>
      </c>
    </row>
    <row r="3" customFormat="false" ht="19.5" hidden="false" customHeight="true" outlineLevel="0" collapsed="false">
      <c r="A3" s="3" t="s">
        <v>5</v>
      </c>
      <c r="B3" s="3" t="s">
        <v>7</v>
      </c>
      <c r="C3" s="4" t="n">
        <f aca="false">AVERAGE('Tobacco &amp; COPD Data'!D5,'Tobacco &amp; COPD Data'!D6,'Tobacco &amp; COPD Data'!D7)</f>
        <v>20.6666666666667</v>
      </c>
      <c r="D3" s="4" t="n">
        <f aca="false">AVERAGE('Tobacco &amp; COPD Data'!E5,'Tobacco &amp; COPD Data'!E6,'Tobacco &amp; COPD Data'!E7)</f>
        <v>6.66666666666667</v>
      </c>
    </row>
    <row r="4" customFormat="false" ht="19.5" hidden="false" customHeight="true" outlineLevel="0" collapsed="false">
      <c r="A4" s="5" t="s">
        <v>8</v>
      </c>
      <c r="B4" s="5" t="s">
        <v>6</v>
      </c>
      <c r="C4" s="6" t="n">
        <f aca="false">AVERAGE('Tobacco &amp; COPD Data'!D8,'Tobacco &amp; COPD Data'!D9,'Tobacco &amp; COPD Data'!D10)</f>
        <v>26.6333333333333</v>
      </c>
      <c r="D4" s="6" t="n">
        <f aca="false">AVERAGE('Tobacco &amp; COPD Data'!E8,'Tobacco &amp; COPD Data'!E9,'Tobacco &amp; COPD Data'!E10)</f>
        <v>5.86666666666667</v>
      </c>
    </row>
    <row r="5" customFormat="false" ht="19.5" hidden="false" customHeight="true" outlineLevel="0" collapsed="false">
      <c r="A5" s="5" t="s">
        <v>8</v>
      </c>
      <c r="B5" s="5" t="s">
        <v>7</v>
      </c>
      <c r="C5" s="6" t="n">
        <f aca="false">AVERAGE('Tobacco &amp; COPD Data'!D11,'Tobacco &amp; COPD Data'!D12,'Tobacco &amp; COPD Data'!D13)</f>
        <v>23.6</v>
      </c>
      <c r="D5" s="6" t="n">
        <f aca="false">AVERAGE('Tobacco &amp; COPD Data'!E11,'Tobacco &amp; COPD Data'!E12,'Tobacco &amp; COPD Data'!E13)</f>
        <v>5.36666666666667</v>
      </c>
    </row>
    <row r="6" customFormat="false" ht="19.5" hidden="false" customHeight="true" outlineLevel="0" collapsed="false">
      <c r="A6" s="7" t="s">
        <v>9</v>
      </c>
      <c r="B6" s="7" t="s">
        <v>6</v>
      </c>
      <c r="C6" s="8" t="n">
        <f aca="false">AVERAGE('Tobacco &amp; COPD Data'!D14,'Tobacco &amp; COPD Data'!D15,'Tobacco &amp; COPD Data'!D16)</f>
        <v>34.5</v>
      </c>
      <c r="D6" s="8" t="n">
        <f aca="false">AVERAGE('Tobacco &amp; COPD Data'!E14,'Tobacco &amp; COPD Data'!E15,'Tobacco &amp; COPD Data'!E16)</f>
        <v>4.23333333333333</v>
      </c>
    </row>
    <row r="7" customFormat="false" ht="19.5" hidden="false" customHeight="true" outlineLevel="0" collapsed="false">
      <c r="A7" s="7" t="s">
        <v>9</v>
      </c>
      <c r="B7" s="7" t="s">
        <v>7</v>
      </c>
      <c r="C7" s="8" t="n">
        <f aca="false">AVERAGE('Tobacco &amp; COPD Data'!D17,'Tobacco &amp; COPD Data'!D18,'Tobacco &amp; COPD Data'!D19)</f>
        <v>24</v>
      </c>
      <c r="D7" s="8" t="n">
        <f aca="false">AVERAGE('Tobacco &amp; COPD Data'!E17,'Tobacco &amp; COPD Data'!E18,'Tobacco &amp; COPD Data'!E19)</f>
        <v>2.66666666666667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2026-06-22T10:37:26Z</dcterms:created>
  <dc:creator>openpyxl</dc:creator>
  <dc:description/>
  <dc:language>en-US</dc:language>
  <cp:lastModifiedBy/>
  <dcterms:modified xsi:type="dcterms:W3CDTF">2026-06-22T12:41:42Z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